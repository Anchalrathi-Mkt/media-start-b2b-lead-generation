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b8b1dd447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KPI" sheetId="1" r:id="R1098346517eb43df"/>
    <x:sheet xmlns:r="http://schemas.openxmlformats.org/officeDocument/2006/relationships" name="Leads Public" sheetId="2" r:id="Re1fa7d0bfc504642"/>
    <x:sheet xmlns:r="http://schemas.openxmlformats.org/officeDocument/2006/relationships" name="KPI Definitions" sheetId="3" r:id="R0f4bd0237fd5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i/>
      <x:sz val="11"/>
      <x:color rgb="FF64748B"/>
      <x:name val="Carlito"/>
    </x:font>
    <x:font>
      <x:b/>
      <x:sz val="11"/>
      <x:color rgb="FF284967"/>
      <x:name val="Carlito"/>
    </x:font>
    <x:font>
      <x:b/>
      <x:sz val="24"/>
      <x:color rgb="FF102F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32D48"/>
      </x:patternFill>
    </x:fill>
    <x:fill>
      <x:patternFill patternType="solid">
        <x:fgColor rgb="FFE7EF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723397b744d9a" /><Relationship Type="http://schemas.openxmlformats.org/officeDocument/2006/relationships/theme" Target="/xl/theme/theme1.xml" Id="Ra68f9d80030e4f8d" /><Relationship Type="http://schemas.openxmlformats.org/officeDocument/2006/relationships/sharedStrings" Target="/xl/sharedStrings.xml" Id="R23aadb12f77742fd" /><Relationship Type="http://schemas.openxmlformats.org/officeDocument/2006/relationships/worksheet" Target="/xl/worksheets/sheet1.xml" Id="R1098346517eb43df" /><Relationship Type="http://schemas.openxmlformats.org/officeDocument/2006/relationships/worksheet" Target="/xl/worksheets/sheet2.xml" Id="Re1fa7d0bfc504642" /><Relationship Type="http://schemas.openxmlformats.org/officeDocument/2006/relationships/worksheet" Target="/xl/worksheets/sheet3.xml" Id="R0f4bd0237fd545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138b1a17b54a95" /><Relationship Type="http://schemas.openxmlformats.org/officeDocument/2006/relationships/chart" Target="/xl/drawings/charts/chart2.xml" Id="R9f2d83f828634c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Prospects by industry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LEADS</c:v>
          </c:tx>
          <c:cat>
            <c:strRef>
              <c:f>'Dashboard KPI'!$D$11:$D$13</c:f>
              <c:strCache>
                <c:ptCount val="0"/>
              </c:strCache>
            </c:strRef>
          </c:cat>
          <c:val>
            <c:numRef>
              <c:f>'Dashboard KPI'!$E$11:$E$13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Pipeline by current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 KPI'!$A$11:$A$21</c:f>
              <c:strCache>
                <c:ptCount val="0"/>
              </c:strCache>
            </c:strRef>
          </c:cat>
          <c:val>
            <c:numRef>
              <c:f>'Dashboard KPI'!$B$11:$B$21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138b1a17b54a95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2d83f828634c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e6e109593e49b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34" hidden="0" customWidth="1"/>
    <x:col min="4" max="4" width="28" hidden="0" customWidth="1"/>
    <x:col min="5" max="5" width="17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11" t="str">
        <x:v>MEDIA-START | B2B PROSPECTION DASHBOARD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28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24" customHeight="1">
      <x:c r="A3" s="14" t="str">
        <x:v>Portfolio demonstration • self-initiated prospecting hypotheses • not verified commercial results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23" customHeight="1">
      <x:c r="A5" s="17" t="str">
        <x:v>TOTAL PROSPECTS</x:v>
      </x:c>
      <x:c r="B5" s="17"/>
      <x:c r="C5" s="17"/>
      <x:c r="D5" s="17" t="str">
        <x:v>À QUALIFIER</x:v>
      </x:c>
      <x:c r="E5" s="17"/>
      <x:c r="F5" s="17"/>
      <x:c r="G5" s="17" t="str">
        <x:v>FOLLOW-UPS DUE</x:v>
      </x:c>
      <x:c r="H5" s="17"/>
      <x:c r="I5" s="17"/>
      <x:c r="J5" s="17" t="str">
        <x:v>ADVANCED STAGES</x:v>
      </x:c>
      <x:c r="K5" s="17"/>
      <x:c r="L5" s="17"/>
    </x:row>
    <x:row r="6" ht="24" customHeight="1">
      <x:c r="A6" s="21" t="n">
        <x:f>COUNTA('Leads Public'!$A$2:$A$1000)</x:f>
        <x:v>30</x:v>
      </x:c>
      <x:c r="B6" s="21"/>
      <x:c r="C6" s="21"/>
      <x:c r="D6" s="21" t="n">
        <x:f>COUNTIF('Leads Public'!$G$2:$G$1000,"À qualifier")</x:f>
        <x:v>24</x:v>
      </x:c>
      <x:c r="E6" s="21"/>
      <x:c r="F6" s="21"/>
      <x:c r="G6" s="21" t="n">
        <x:f>COUNTIF('Leads Public'!$G$2:$G$1000,"Relance à effectuer")</x:f>
        <x:v>1</x:v>
      </x:c>
      <x:c r="H6" s="21"/>
      <x:c r="I6" s="21"/>
      <x:c r="J6" s="21" t="n">
        <x:f>COUNTIF('Leads Public'!$G$2:$G$1000,"En discussion")+COUNTIF('Leads Public'!$G$2:$G$1000,"Rendez-vous planifié")+COUNTIF('Leads Public'!$G$2:$G$1000,"Proposition envoyée")+COUNTIF('Leads Public'!$G$2:$G$1000,"Négociation")+COUNTIF('Leads Public'!$G$2:$G$1000,"Gagné")</x:f>
        <x:v>4</x:v>
      </x:c>
      <x:c r="K6" s="21"/>
      <x:c r="L6" s="21"/>
    </x:row>
    <x:row r="7" ht="24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  <x:row r="8" ht="24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</x:row>
    <x:row r="10" ht="25" customHeight="1">
      <x:c r="A10" s="3" t="str">
        <x:v>STATUS</x:v>
      </x:c>
      <x:c r="B10" s="3" t="str">
        <x:v>COUNT</x:v>
      </x:c>
      <x:c r="D10" s="3" t="str">
        <x:v>INDUSTRY</x:v>
      </x:c>
      <x:c r="E10" s="3" t="str">
        <x:v>LEADS</x:v>
      </x:c>
      <x:c r="G10" s="3" t="str">
        <x:v>SOURCE</x:v>
      </x:c>
      <x:c r="H10" s="3" t="str">
        <x:v>LEADS</x:v>
      </x:c>
    </x:row>
    <x:row r="11" ht="23" customHeight="1">
      <x:c r="A11" t="str">
        <x:v>À qualifier</x:v>
      </x:c>
      <x:c r="B11" t="n">
        <x:f>COUNTIF('Leads Public'!$G$2:$G$1000,A11)</x:f>
        <x:v>24</x:v>
      </x:c>
      <x:c r="D11" t="str">
        <x:v>Beauté</x:v>
      </x:c>
      <x:c r="E11" t="n">
        <x:f>COUNTIF('Leads Public'!$B$2:$B$1000,D11)</x:f>
        <x:v>11</x:v>
      </x:c>
      <x:c r="G11" t="str">
        <x:v>Recherche web</x:v>
      </x:c>
      <x:c r="H11" t="n">
        <x:f>COUNTIF('Leads Public'!$F$2:$F$1000,G11)</x:f>
        <x:v>26</x:v>
      </x:c>
    </x:row>
    <x:row r="12" ht="23" customHeight="1">
      <x:c r="A12" t="str">
        <x:v>À contacter</x:v>
      </x:c>
      <x:c r="B12" t="n">
        <x:f>COUNTIF('Leads Public'!$G$2:$G$1000,A12)</x:f>
        <x:v>1</x:v>
      </x:c>
      <x:c r="D12" t="str">
        <x:v>Mode</x:v>
      </x:c>
      <x:c r="E12" t="n">
        <x:f>COUNTIF('Leads Public'!$B$2:$B$1000,D12)</x:f>
        <x:v>10</x:v>
      </x:c>
      <x:c r="G12" t="str">
        <x:v>LinkedIn</x:v>
      </x:c>
      <x:c r="H12" t="n">
        <x:f>COUNTIF('Leads Public'!$F$2:$F$1000,G12)</x:f>
        <x:v>1</x:v>
      </x:c>
    </x:row>
    <x:row r="13" ht="23" customHeight="1">
      <x:c r="A13" t="str">
        <x:v>Contacté</x:v>
      </x:c>
      <x:c r="B13" t="n">
        <x:f>COUNTIF('Leads Public'!$G$2:$G$1000,A13)</x:f>
        <x:v>0</x:v>
      </x:c>
      <x:c r="D13" t="str">
        <x:v>Hôtellerie</x:v>
      </x:c>
      <x:c r="E13" t="n">
        <x:f>COUNTIF('Leads Public'!$B$2:$B$1000,D13)</x:f>
        <x:v>9</x:v>
      </x:c>
      <x:c r="G13" t="str">
        <x:v>LinkedIn Sales Navigator</x:v>
      </x:c>
      <x:c r="H13" t="n">
        <x:f>COUNTIF('Leads Public'!$F$2:$F$1000,G13)</x:f>
        <x:v>1</x:v>
      </x:c>
    </x:row>
    <x:row r="14" ht="23" customHeight="1">
      <x:c r="A14" t="str">
        <x:v>Relance à effectuer</x:v>
      </x:c>
      <x:c r="B14" t="n">
        <x:f>COUNTIF('Leads Public'!$G$2:$G$1000,A14)</x:f>
        <x:v>1</x:v>
      </x:c>
      <x:c r="G14" t="str">
        <x:v>Apollo</x:v>
      </x:c>
      <x:c r="H14" t="n">
        <x:f>COUNTIF('Leads Public'!$F$2:$F$1000,G14)</x:f>
        <x:v>1</x:v>
      </x:c>
    </x:row>
    <x:row r="15" ht="23" customHeight="1">
      <x:c r="A15" t="str">
        <x:v>En discussion</x:v>
      </x:c>
      <x:c r="B15" t="n">
        <x:f>COUNTIF('Leads Public'!$G$2:$G$1000,A15)</x:f>
        <x:v>1</x:v>
      </x:c>
      <x:c r="G15" t="str">
        <x:v>Site officiel</x:v>
      </x:c>
      <x:c r="H15" t="n">
        <x:f>COUNTIF('Leads Public'!$F$2:$F$1000,G15)</x:f>
        <x:v>1</x:v>
      </x:c>
    </x:row>
    <x:row r="16" ht="23" customHeight="1">
      <x:c r="A16" t="str">
        <x:v>Rendez-vous planifié</x:v>
      </x:c>
      <x:c r="B16" t="n">
        <x:f>COUNTIF('Leads Public'!$G$2:$G$1000,A16)</x:f>
        <x:v>1</x:v>
      </x:c>
      <x:c r="G16" t="str">
        <x:v>Autre</x:v>
      </x:c>
      <x:c r="H16" t="n">
        <x:f>COUNTIF('Leads Public'!$F$2:$F$1000,G16)</x:f>
        <x:v>0</x:v>
      </x:c>
    </x:row>
    <x:row r="17" ht="23" customHeight="1">
      <x:c r="A17" t="str">
        <x:v>Proposition envoyée</x:v>
      </x:c>
      <x:c r="B17" t="n">
        <x:f>COUNTIF('Leads Public'!$G$2:$G$1000,A17)</x:f>
        <x:v>0</x:v>
      </x:c>
    </x:row>
    <x:row r="18" ht="23" customHeight="1">
      <x:c r="A18" t="str">
        <x:v>Négociation</x:v>
      </x:c>
      <x:c r="B18" t="n">
        <x:f>COUNTIF('Leads Public'!$G$2:$G$1000,A18)</x:f>
        <x:v>1</x:v>
      </x:c>
    </x:row>
    <x:row r="19" ht="23" customHeight="1">
      <x:c r="A19" t="str">
        <x:v>Gagné</x:v>
      </x:c>
      <x:c r="B19" t="n">
        <x:f>COUNTIF('Leads Public'!$G$2:$G$1000,A19)</x:f>
        <x:v>1</x:v>
      </x:c>
    </x:row>
    <x:row r="20" ht="23" customHeight="1">
      <x:c r="A20" t="str">
        <x:v>Perdu</x:v>
      </x:c>
      <x:c r="B20" t="n">
        <x:f>COUNTIF('Leads Public'!$G$2:$G$1000,A20)</x:f>
        <x:v>0</x:v>
      </x:c>
    </x:row>
    <x:row r="21" ht="23" customHeight="1">
      <x:c r="A21" t="str">
        <x:v>Sans réponse</x:v>
      </x:c>
      <x:c r="B21" t="n">
        <x:f>COUNTIF('Leads Public'!$G$2:$G$1000,A21)</x:f>
        <x:v>0</x:v>
      </x:c>
    </x:row>
    <x:row r="24" ht="25" customHeight="1">
      <x:c r="A24" s="3" t="str">
        <x:v>KPI</x:v>
      </x:c>
      <x:c r="B24" s="3" t="str">
        <x:v>VALUE</x:v>
      </x:c>
      <x:c r="C24" s="3" t="str">
        <x:v>DEFINITION</x:v>
      </x:c>
      <x:c r="D24" s="3" t="str">
        <x:v>INTERPRETATION</x:v>
      </x:c>
    </x:row>
    <x:row r="25">
      <x:c r="A25" t="str">
        <x:v>Qualification rate</x:v>
      </x:c>
      <x:c r="B25" s="24" t="n">
        <x:f>IFERROR(1-B11/B6,0)</x:f>
        <x:v>0</x:v>
      </x:c>
      <x:c r="C25" s="6" t="str">
        <x:v>Total minus À qualifier / total</x:v>
      </x:c>
      <x:c r="D25" s="6" t="str">
        <x:v>Not validated as truly qualified</x:v>
      </x:c>
    </x:row>
    <x:row r="26">
      <x:c r="A26" t="str">
        <x:v>Contact rate (status proxy)</x:v>
      </x:c>
      <x:c r="B26" s="24" t="n">
        <x:f>IFERROR((COUNTIF('Leads Public'!$G$2:$G$1000,"Contacté")+COUNTIF('Leads Public'!$G$2:$G$1000,"Relance à effectuer")+COUNTIF('Leads Public'!$G$2:$G$1000,"En discussion")+COUNTIF('Leads Public'!$G$2:$G$1000,"Rendez-vous planifié")+COUNTIF('Leads Public'!$G$2:$G$1000,"Proposition envoyée")+COUNTIF('Leads Public'!$G$2:$G$1000,"Négociation")+COUNTIF('Leads Public'!$G$2:$G$1000,"Gagné")+COUNTIF('Leads Public'!$G$2:$G$1000,"Perdu"))/B6,0)</x:f>
        <x:v>0</x:v>
      </x:c>
      <x:c r="C26" s="6" t="str">
        <x:v>Advanced/contacted statuses / total</x:v>
      </x:c>
      <x:c r="D26" s="6" t="str">
        <x:v>Proxy only; add first-contact date</x:v>
      </x:c>
    </x:row>
    <x:row r="27">
      <x:c r="A27" t="str">
        <x:v>Meeting rate (status proxy)</x:v>
      </x:c>
      <x:c r="B27" s="24" t="n">
        <x:f>IFERROR((COUNTIF('Leads Public'!$G$2:$G$1000,"Rendez-vous planifié"))/B6,0)</x:f>
        <x:v>0</x:v>
      </x:c>
      <x:c r="C27" s="6" t="str">
        <x:v>Rendez-vous planifié / total</x:v>
      </x:c>
      <x:c r="D27" s="6" t="str">
        <x:v>Scheduled ≠ completed</x:v>
      </x:c>
    </x:row>
    <x:row r="28">
      <x:c r="A28" t="str">
        <x:v>Win rate (recorded closed)</x:v>
      </x:c>
      <x:c r="B28" s="24" t="n">
        <x:f>IFERROR(COUNTIF('Leads Public'!$G$2:$G$1000,"Gagné")/(COUNTIF('Leads Public'!$G$2:$G$1000,"Gagné")+COUNTIF('Leads Public'!$G$2:$G$1000,"Perdu")),0)</x:f>
        <x:v>1</x:v>
      </x:c>
      <x:c r="C28" s="6" t="str">
        <x:v>Gagné / (Gagné+Perdu)</x:v>
      </x:c>
      <x:c r="D28" s="6" t="str">
        <x:v>Only meaningful after outcomes verified</x:v>
      </x:c>
    </x:row>
    <x:row r="29">
      <x:c r="A29" t="str">
        <x:v>Follow-up rate</x:v>
      </x:c>
      <x:c r="B29" s="24" t="n">
        <x:f>IFERROR(H6/B6,0)</x:f>
        <x:v>0</x:v>
      </x:c>
      <x:c r="C29" s="6" t="str">
        <x:v>Relance à effectuer / total</x:v>
      </x:c>
      <x:c r="D29" s="6" t="str">
        <x:v>Status count, not overdue by date</x:v>
      </x:c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</x:mergeCells>
  <x:pageMargins left="0.7" right="0.7" top="0.75" bottom="0.75" header="0.3" footer="0.3"/>
  <x:drawing xmlns:r="http://schemas.openxmlformats.org/officeDocument/2006/relationships" r:id="R0fe6e109593e49b5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2" hidden="0" customWidth="1"/>
    <x:col min="4" max="4" width="46" hidden="0" customWidth="1"/>
    <x:col min="5" max="5" width="23" hidden="0" customWidth="1"/>
    <x:col min="6" max="6" width="22" hidden="0" customWidth="1"/>
    <x:col min="7" max="7" width="24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31" customHeight="1">
      <x:c r="A1" s="3" t="str">
        <x:v>Entreprise</x:v>
      </x:c>
      <x:c r="B1" s="3" t="str">
        <x:v>Secteur</x:v>
      </x:c>
      <x:c r="C1" s="3" t="str">
        <x:v>Pays</x:v>
      </x:c>
      <x:c r="D1" s="3" t="str">
        <x:v>Cas d’usage (hypothèse)</x:v>
      </x:c>
      <x:c r="E1" s="3" t="str">
        <x:v>Type d’opportunité</x:v>
      </x:c>
      <x:c r="F1" s="3" t="str">
        <x:v>Source du lead</x:v>
      </x:c>
      <x:c r="G1" s="3" t="str">
        <x:v>Statut du lead</x:v>
      </x:c>
      <x:c r="H1" s="3" t="str">
        <x:v>Date d’ajout</x:v>
      </x:c>
      <x:c r="I1" s="3" t="str">
        <x:v>Date de relance</x:v>
      </x:c>
      <x:c r="J1" s="3" t="str">
        <x:v>Prochaine action</x:v>
      </x:c>
    </x:row>
    <x:row r="2">
      <x:c r="A2" t="str">
        <x:v>Typology</x:v>
      </x:c>
      <x:c r="B2" t="str">
        <x:v>Beauté</x:v>
      </x:c>
      <x:c r="C2" t="str">
        <x:v>France</x:v>
      </x:c>
      <x:c r="D2" s="6" t="str">
        <x:v>Couverture média nationale autour d’une gamme de soins</x:v>
      </x:c>
      <x:c r="E2" t="str">
        <x:v>Prospection B2B</x:v>
      </x:c>
      <x:c r="F2" t="str">
        <x:v>Recherche web</x:v>
      </x:c>
      <x:c r="G2" t="str">
        <x:v>À qualifier</x:v>
      </x:c>
      <x:c r="H2" s="8" t="n">
        <x:v>46312</x:v>
      </x:c>
      <x:c r="I2" s="8"/>
      <x:c r="J2" s="6" t="str">
        <x:v>Vérifier ICP, décideur et éligibilité</x:v>
      </x:c>
    </x:row>
    <x:row r="3">
      <x:c r="A3" t="str">
        <x:v>Respire</x:v>
      </x:c>
      <x:c r="B3" t="str">
        <x:v>Beauté</x:v>
      </x:c>
      <x:c r="C3" t="str">
        <x:v>France</x:v>
      </x:c>
      <x:c r="D3" s="6" t="str">
        <x:v>Opportunité éditoriale / visibilité presse nationale</x:v>
      </x:c>
      <x:c r="E3" t="str">
        <x:v>Campagne publicitaire</x:v>
      </x:c>
      <x:c r="F3" t="str">
        <x:v>Recherche web</x:v>
      </x:c>
      <x:c r="G3" t="str">
        <x:v>À contacter</x:v>
      </x:c>
      <x:c r="H3" s="8" t="n">
        <x:v>46312</x:v>
      </x:c>
      <x:c r="I3" s="8"/>
      <x:c r="J3" s="6" t="str">
        <x:v>Vérifier ICP, décideur et éligibilité</x:v>
      </x:c>
    </x:row>
    <x:row r="4">
      <x:c r="A4" t="str">
        <x:v>Seasonly</x:v>
      </x:c>
      <x:c r="B4" t="str">
        <x:v>Beauté</x:v>
      </x:c>
      <x:c r="C4" t="str">
        <x:v>France</x:v>
      </x:c>
      <x:c r="D4" s="6" t="str">
        <x:v>Visibilité de marque auprès d’un public national</x:v>
      </x:c>
      <x:c r="E4" t="str">
        <x:v>Partenariat média</x:v>
      </x:c>
      <x:c r="F4" t="str">
        <x:v>LinkedIn</x:v>
      </x:c>
      <x:c r="G4" t="str">
        <x:v>Relance à effectuer</x:v>
      </x:c>
      <x:c r="H4" s="8" t="n">
        <x:v>46312</x:v>
      </x:c>
      <x:c r="I4" s="8"/>
      <x:c r="J4" s="6" t="str">
        <x:v>Vérifier ICP, décideur et éligibilité</x:v>
      </x:c>
    </x:row>
    <x:row r="5">
      <x:c r="A5" t="str">
        <x:v>Balzac Paris</x:v>
      </x:c>
      <x:c r="B5" t="str">
        <x:v>Mode</x:v>
      </x:c>
      <x:c r="C5" t="str">
        <x:v>France</x:v>
      </x:c>
      <x:c r="D5" s="6" t="str">
        <x:v>Mise en lumière d’une collection / engagement de marque</x:v>
      </x:c>
      <x:c r="E5" t="str">
        <x:v>Relations presse</x:v>
      </x:c>
      <x:c r="F5" t="str">
        <x:v>LinkedIn Sales Navigator</x:v>
      </x:c>
      <x:c r="G5" t="str">
        <x:v>En discussion</x:v>
      </x:c>
      <x:c r="H5" s="8" t="n">
        <x:v>46312</x:v>
      </x:c>
      <x:c r="I5" s="8"/>
      <x:c r="J5" s="6" t="str">
        <x:v>Vérifier ICP, décideur et éligibilité</x:v>
      </x:c>
    </x:row>
    <x:row r="6">
      <x:c r="A6" t="str">
        <x:v>Sézane</x:v>
      </x:c>
      <x:c r="B6" t="str">
        <x:v>Mode</x:v>
      </x:c>
      <x:c r="C6" t="str">
        <x:v>France</x:v>
      </x:c>
      <x:c r="D6" s="6" t="str">
        <x:v>Visibilité nationale lors d’un lancement</x:v>
      </x:c>
      <x:c r="E6" t="str">
        <x:v>Communication digitale</x:v>
      </x:c>
      <x:c r="F6" t="str">
        <x:v>Apollo</x:v>
      </x:c>
      <x:c r="G6" t="str">
        <x:v>Rendez-vous planifié</x:v>
      </x:c>
      <x:c r="H6" s="8" t="n">
        <x:v>46312</x:v>
      </x:c>
      <x:c r="I6" s="8"/>
      <x:c r="J6" s="6" t="str">
        <x:v>Vérifier ICP, décideur et éligibilité</x:v>
      </x:c>
    </x:row>
    <x:row r="7">
      <x:c r="A7" t="str">
        <x:v>Experimental Group</x:v>
      </x:c>
      <x:c r="B7" t="str">
        <x:v>Hôtellerie</x:v>
      </x:c>
      <x:c r="C7" t="str">
        <x:v>France</x:v>
      </x:c>
      <x:c r="D7" s="6" t="str">
        <x:v>Opportunité média nationale liée à un établissement</x:v>
      </x:c>
      <x:c r="E7" t="str">
        <x:v>Prospection B2B</x:v>
      </x:c>
      <x:c r="F7" t="str">
        <x:v>Recherche web</x:v>
      </x:c>
      <x:c r="G7" t="str">
        <x:v>Négociation</x:v>
      </x:c>
      <x:c r="H7" s="8" t="n">
        <x:v>46312</x:v>
      </x:c>
      <x:c r="I7" s="8"/>
      <x:c r="J7" s="6" t="str">
        <x:v>Vérifier ICP, décideur et éligibilité</x:v>
      </x:c>
    </x:row>
    <x:row r="8">
      <x:c r="A8" t="str">
        <x:v>Maisons du Monde Hôtel &amp; Suites</x:v>
      </x:c>
      <x:c r="B8" t="str">
        <x:v>Hôtellerie</x:v>
      </x:c>
      <x:c r="C8" t="str">
        <x:v>France</x:v>
      </x:c>
      <x:c r="D8" s="6" t="str">
        <x:v>Campagne de visibilité média pour établissements</x:v>
      </x:c>
      <x:c r="E8" t="str">
        <x:v>Prospection B2B</x:v>
      </x:c>
      <x:c r="F8" t="str">
        <x:v>Site officiel</x:v>
      </x:c>
      <x:c r="G8" t="str">
        <x:v>Gagné</x:v>
      </x:c>
      <x:c r="H8" s="8" t="n">
        <x:v>46312</x:v>
      </x:c>
      <x:c r="I8" s="8"/>
      <x:c r="J8" s="6" t="str">
        <x:v>Vérifier ICP, décideur et éligibilité</x:v>
      </x:c>
    </x:row>
    <x:row r="9">
      <x:c r="A9" t="str">
        <x:v>Horace</x:v>
      </x:c>
      <x:c r="B9" t="str">
        <x:v>Beauté</x:v>
      </x:c>
      <x:c r="C9" t="str">
        <x:v>France</x:v>
      </x:c>
      <x:c r="D9" s="6" t="str">
        <x:v>Valorisation de l’offre et de l’expertise</x:v>
      </x:c>
      <x:c r="E9" t="str">
        <x:v>Prospection B2B</x:v>
      </x:c>
      <x:c r="F9" t="str">
        <x:v>Recherche web</x:v>
      </x:c>
      <x:c r="G9" t="str">
        <x:v>À qualifier</x:v>
      </x:c>
      <x:c r="H9" s="8" t="n">
        <x:v>46312</x:v>
      </x:c>
      <x:c r="I9" s="8"/>
      <x:c r="J9" s="6" t="str">
        <x:v>Vérifier ICP, décideur et éligibilité</x:v>
      </x:c>
    </x:row>
    <x:row r="10">
      <x:c r="A10" t="str">
        <x:v>La Rosée</x:v>
      </x:c>
      <x:c r="B10" t="str">
        <x:v>Beauté</x:v>
      </x:c>
      <x:c r="C10" t="str">
        <x:v>France</x:v>
      </x:c>
      <x:c r="D10" s="6" t="str">
        <x:v>Prise de parole dans des médias nationaux</x:v>
      </x:c>
      <x:c r="E10" t="str">
        <x:v>Prospection B2B</x:v>
      </x:c>
      <x:c r="F10" t="str">
        <x:v>Recherche web</x:v>
      </x:c>
      <x:c r="G10" t="str">
        <x:v>À qualifier</x:v>
      </x:c>
      <x:c r="H10" s="8" t="n">
        <x:v>46312</x:v>
      </x:c>
      <x:c r="I10" s="8"/>
      <x:c r="J10" s="6" t="str">
        <x:v>Vérifier ICP, décideur et éligibilité</x:v>
      </x:c>
    </x:row>
    <x:row r="11">
      <x:c r="A11" t="str">
        <x:v>Oh My Cream</x:v>
      </x:c>
      <x:c r="B11" t="str">
        <x:v>Beauté</x:v>
      </x:c>
      <x:c r="C11" t="str">
        <x:v>France</x:v>
      </x:c>
      <x:c r="D11" s="6" t="str">
        <x:v>Campagne autour du positionnement beauté</x:v>
      </x:c>
      <x:c r="E11" t="str">
        <x:v>Prospection B2B</x:v>
      </x:c>
      <x:c r="F11" t="str">
        <x:v>Recherche web</x:v>
      </x:c>
      <x:c r="G11" t="str">
        <x:v>À qualifier</x:v>
      </x:c>
      <x:c r="H11" s="8" t="n">
        <x:v>46312</x:v>
      </x:c>
      <x:c r="I11" s="8"/>
      <x:c r="J11" s="6" t="str">
        <x:v>Vérifier ICP, décideur et éligibilité</x:v>
      </x:c>
    </x:row>
    <x:row r="12">
      <x:c r="A12" t="str">
        <x:v>Aime</x:v>
      </x:c>
      <x:c r="B12" t="str">
        <x:v>Beauté</x:v>
      </x:c>
      <x:c r="C12" t="str">
        <x:v>France</x:v>
      </x:c>
      <x:c r="D12" s="6" t="str">
        <x:v>Opportunité de visibilité nationale</x:v>
      </x:c>
      <x:c r="E12" t="str">
        <x:v>Prospection B2B</x:v>
      </x:c>
      <x:c r="F12" t="str">
        <x:v>Recherche web</x:v>
      </x:c>
      <x:c r="G12" t="str">
        <x:v>À qualifier</x:v>
      </x:c>
      <x:c r="H12" s="8" t="n">
        <x:v>46312</x:v>
      </x:c>
      <x:c r="I12" s="8"/>
      <x:c r="J12" s="6" t="str">
        <x:v>Vérifier ICP, décideur et éligibilité</x:v>
      </x:c>
    </x:row>
    <x:row r="13">
      <x:c r="A13" t="str">
        <x:v>Patyka</x:v>
      </x:c>
      <x:c r="B13" t="str">
        <x:v>Beauté</x:v>
      </x:c>
      <x:c r="C13" t="str">
        <x:v>France</x:v>
      </x:c>
      <x:c r="D13" s="6" t="str">
        <x:v>Communication de marque dans la presse nationale</x:v>
      </x:c>
      <x:c r="E13" t="str">
        <x:v>Prospection B2B</x:v>
      </x:c>
      <x:c r="F13" t="str">
        <x:v>Recherche web</x:v>
      </x:c>
      <x:c r="G13" t="str">
        <x:v>À qualifier</x:v>
      </x:c>
      <x:c r="H13" s="8" t="n">
        <x:v>46312</x:v>
      </x:c>
      <x:c r="I13" s="8"/>
      <x:c r="J13" s="6" t="str">
        <x:v>Vérifier ICP, décideur et éligibilité</x:v>
      </x:c>
    </x:row>
    <x:row r="14">
      <x:c r="A14" t="str">
        <x:v>Caudalie</x:v>
      </x:c>
      <x:c r="B14" t="str">
        <x:v>Beauté</x:v>
      </x:c>
      <x:c r="C14" t="str">
        <x:v>France</x:v>
      </x:c>
      <x:c r="D14" s="6" t="str">
        <x:v>Visibilité autour d’une nouvelle gamme</x:v>
      </x:c>
      <x:c r="E14" t="str">
        <x:v>Prospection B2B</x:v>
      </x:c>
      <x:c r="F14" t="str">
        <x:v>Recherche web</x:v>
      </x:c>
      <x:c r="G14" t="str">
        <x:v>À qualifier</x:v>
      </x:c>
      <x:c r="H14" s="8" t="n">
        <x:v>46312</x:v>
      </x:c>
      <x:c r="I14" s="8"/>
      <x:c r="J14" s="6" t="str">
        <x:v>Vérifier ICP, décideur et éligibilité</x:v>
      </x:c>
    </x:row>
    <x:row r="15">
      <x:c r="A15" t="str">
        <x:v>Garancia</x:v>
      </x:c>
      <x:c r="B15" t="str">
        <x:v>Beauté</x:v>
      </x:c>
      <x:c r="C15" t="str">
        <x:v>France</x:v>
      </x:c>
      <x:c r="D15" s="6" t="str">
        <x:v>Diffusion de campagnes de notoriété</x:v>
      </x:c>
      <x:c r="E15" t="str">
        <x:v>Prospection B2B</x:v>
      </x:c>
      <x:c r="F15" t="str">
        <x:v>Recherche web</x:v>
      </x:c>
      <x:c r="G15" t="str">
        <x:v>À qualifier</x:v>
      </x:c>
      <x:c r="H15" s="8" t="n">
        <x:v>46312</x:v>
      </x:c>
      <x:c r="I15" s="8"/>
      <x:c r="J15" s="6" t="str">
        <x:v>Vérifier ICP, décideur et éligibilité</x:v>
      </x:c>
    </x:row>
    <x:row r="16">
      <x:c r="A16" t="str">
        <x:v>Nuxe</x:v>
      </x:c>
      <x:c r="B16" t="str">
        <x:v>Beauté</x:v>
      </x:c>
      <x:c r="C16" t="str">
        <x:v>France</x:v>
      </x:c>
      <x:c r="D16" s="6" t="str">
        <x:v>Campagne de notoriété nationale</x:v>
      </x:c>
      <x:c r="E16" t="str">
        <x:v>Prospection B2B</x:v>
      </x:c>
      <x:c r="F16" t="str">
        <x:v>Recherche web</x:v>
      </x:c>
      <x:c r="G16" t="str">
        <x:v>À qualifier</x:v>
      </x:c>
      <x:c r="H16" s="8" t="n">
        <x:v>46312</x:v>
      </x:c>
      <x:c r="I16" s="8"/>
      <x:c r="J16" s="6" t="str">
        <x:v>Vérifier ICP, décideur et éligibilité</x:v>
      </x:c>
    </x:row>
    <x:row r="17">
      <x:c r="A17" t="str">
        <x:v>Asphalte</x:v>
      </x:c>
      <x:c r="B17" t="str">
        <x:v>Mode</x:v>
      </x:c>
      <x:c r="C17" t="str">
        <x:v>France</x:v>
      </x:c>
      <x:c r="D17" s="6" t="str">
        <x:v>Visibilité autour d’un lancement produit</x:v>
      </x:c>
      <x:c r="E17" t="str">
        <x:v>Prospection B2B</x:v>
      </x:c>
      <x:c r="F17" t="str">
        <x:v>Recherche web</x:v>
      </x:c>
      <x:c r="G17" t="str">
        <x:v>À qualifier</x:v>
      </x:c>
      <x:c r="H17" s="8" t="n">
        <x:v>46312</x:v>
      </x:c>
      <x:c r="I17" s="8"/>
      <x:c r="J17" s="6" t="str">
        <x:v>Vérifier ICP, décideur et éligibilité</x:v>
      </x:c>
    </x:row>
    <x:row r="18">
      <x:c r="A18" t="str">
        <x:v>Loom</x:v>
      </x:c>
      <x:c r="B18" t="str">
        <x:v>Mode</x:v>
      </x:c>
      <x:c r="C18" t="str">
        <x:v>France</x:v>
      </x:c>
      <x:c r="D18" s="6" t="str">
        <x:v>Prise de parole sur le savoir-faire de la marque</x:v>
      </x:c>
      <x:c r="E18" t="str">
        <x:v>Prospection B2B</x:v>
      </x:c>
      <x:c r="F18" t="str">
        <x:v>Recherche web</x:v>
      </x:c>
      <x:c r="G18" t="str">
        <x:v>À qualifier</x:v>
      </x:c>
      <x:c r="H18" s="8" t="n">
        <x:v>46312</x:v>
      </x:c>
      <x:c r="I18" s="8"/>
      <x:c r="J18" s="6" t="str">
        <x:v>Vérifier ICP, décideur et éligibilité</x:v>
      </x:c>
    </x:row>
    <x:row r="19">
      <x:c r="A19" t="str">
        <x:v>Polène</x:v>
      </x:c>
      <x:c r="B19" t="str">
        <x:v>Mode</x:v>
      </x:c>
      <x:c r="C19" t="str">
        <x:v>France</x:v>
      </x:c>
      <x:c r="D19" s="6" t="str">
        <x:v>Communication média autour d’un lancement</x:v>
      </x:c>
      <x:c r="E19" t="str">
        <x:v>Prospection B2B</x:v>
      </x:c>
      <x:c r="F19" t="str">
        <x:v>Recherche web</x:v>
      </x:c>
      <x:c r="G19" t="str">
        <x:v>À qualifier</x:v>
      </x:c>
      <x:c r="H19" s="8" t="n">
        <x:v>46312</x:v>
      </x:c>
      <x:c r="I19" s="8"/>
      <x:c r="J19" s="6" t="str">
        <x:v>Vérifier ICP, décideur et éligibilité</x:v>
      </x:c>
    </x:row>
    <x:row r="20">
      <x:c r="A20" t="str">
        <x:v>Le Slip Français</x:v>
      </x:c>
      <x:c r="B20" t="str">
        <x:v>Mode</x:v>
      </x:c>
      <x:c r="C20" t="str">
        <x:v>France</x:v>
      </x:c>
      <x:c r="D20" s="6" t="str">
        <x:v>Visibilité presse autour du made in France</x:v>
      </x:c>
      <x:c r="E20" t="str">
        <x:v>Prospection B2B</x:v>
      </x:c>
      <x:c r="F20" t="str">
        <x:v>Recherche web</x:v>
      </x:c>
      <x:c r="G20" t="str">
        <x:v>À qualifier</x:v>
      </x:c>
      <x:c r="H20" s="8" t="n">
        <x:v>46312</x:v>
      </x:c>
      <x:c r="I20" s="8"/>
      <x:c r="J20" s="6" t="str">
        <x:v>Vérifier ICP, décideur et éligibilité</x:v>
      </x:c>
    </x:row>
    <x:row r="21">
      <x:c r="A21" t="str">
        <x:v>Faguo</x:v>
      </x:c>
      <x:c r="B21" t="str">
        <x:v>Mode</x:v>
      </x:c>
      <x:c r="C21" t="str">
        <x:v>France</x:v>
      </x:c>
      <x:c r="D21" s="6" t="str">
        <x:v>Opportunité presse marque responsable</x:v>
      </x:c>
      <x:c r="E21" t="str">
        <x:v>Prospection B2B</x:v>
      </x:c>
      <x:c r="F21" t="str">
        <x:v>Recherche web</x:v>
      </x:c>
      <x:c r="G21" t="str">
        <x:v>À qualifier</x:v>
      </x:c>
      <x:c r="H21" s="8" t="n">
        <x:v>46312</x:v>
      </x:c>
      <x:c r="I21" s="8"/>
      <x:c r="J21" s="6" t="str">
        <x:v>Vérifier ICP, décideur et éligibilité</x:v>
      </x:c>
    </x:row>
    <x:row r="22">
      <x:c r="A22" t="str">
        <x:v>Veja</x:v>
      </x:c>
      <x:c r="B22" t="str">
        <x:v>Mode</x:v>
      </x:c>
      <x:c r="C22" t="str">
        <x:v>France</x:v>
      </x:c>
      <x:c r="D22" s="6" t="str">
        <x:v>Visibilité sur les initiatives et collections</x:v>
      </x:c>
      <x:c r="E22" t="str">
        <x:v>Prospection B2B</x:v>
      </x:c>
      <x:c r="F22" t="str">
        <x:v>Recherche web</x:v>
      </x:c>
      <x:c r="G22" t="str">
        <x:v>À qualifier</x:v>
      </x:c>
      <x:c r="H22" s="8" t="n">
        <x:v>46312</x:v>
      </x:c>
      <x:c r="I22" s="8"/>
      <x:c r="J22" s="6" t="str">
        <x:v>Vérifier ICP, décideur et éligibilité</x:v>
      </x:c>
    </x:row>
    <x:row r="23">
      <x:c r="A23" t="str">
        <x:v>Rouje</x:v>
      </x:c>
      <x:c r="B23" t="str">
        <x:v>Mode</x:v>
      </x:c>
      <x:c r="C23" t="str">
        <x:v>France</x:v>
      </x:c>
      <x:c r="D23" s="6" t="str">
        <x:v>Visibilité média nationale</x:v>
      </x:c>
      <x:c r="E23" t="str">
        <x:v>Prospection B2B</x:v>
      </x:c>
      <x:c r="F23" t="str">
        <x:v>Recherche web</x:v>
      </x:c>
      <x:c r="G23" t="str">
        <x:v>À qualifier</x:v>
      </x:c>
      <x:c r="H23" s="8" t="n">
        <x:v>46312</x:v>
      </x:c>
      <x:c r="I23" s="8"/>
      <x:c r="J23" s="6" t="str">
        <x:v>Vérifier ICP, décideur et éligibilité</x:v>
      </x:c>
    </x:row>
    <x:row r="24">
      <x:c r="A24" t="str">
        <x:v>Maison 123</x:v>
      </x:c>
      <x:c r="B24" t="str">
        <x:v>Mode</x:v>
      </x:c>
      <x:c r="C24" t="str">
        <x:v>France</x:v>
      </x:c>
      <x:c r="D24" s="6" t="str">
        <x:v>Communication média sur nouveautés</x:v>
      </x:c>
      <x:c r="E24" t="str">
        <x:v>Prospection B2B</x:v>
      </x:c>
      <x:c r="F24" t="str">
        <x:v>Recherche web</x:v>
      </x:c>
      <x:c r="G24" t="str">
        <x:v>À qualifier</x:v>
      </x:c>
      <x:c r="H24" s="8" t="n">
        <x:v>46312</x:v>
      </x:c>
      <x:c r="I24" s="8"/>
      <x:c r="J24" s="6" t="str">
        <x:v>Vérifier ICP, décideur et éligibilité</x:v>
      </x:c>
    </x:row>
    <x:row r="25">
      <x:c r="A25" t="str">
        <x:v>Hôtel Panache</x:v>
      </x:c>
      <x:c r="B25" t="str">
        <x:v>Hôtellerie</x:v>
      </x:c>
      <x:c r="C25" t="str">
        <x:v>France</x:v>
      </x:c>
      <x:c r="D25" s="6" t="str">
        <x:v>Opportunité presse autour de l’expérience hôtel</x:v>
      </x:c>
      <x:c r="E25" t="str">
        <x:v>Prospection B2B</x:v>
      </x:c>
      <x:c r="F25" t="str">
        <x:v>Recherche web</x:v>
      </x:c>
      <x:c r="G25" t="str">
        <x:v>À qualifier</x:v>
      </x:c>
      <x:c r="H25" s="8" t="n">
        <x:v>46312</x:v>
      </x:c>
      <x:c r="I25" s="8"/>
      <x:c r="J25" s="6" t="str">
        <x:v>Vérifier ICP, décideur et éligibilité</x:v>
      </x:c>
    </x:row>
    <x:row r="26">
      <x:c r="A26" t="str">
        <x:v>Hôtel Providence</x:v>
      </x:c>
      <x:c r="B26" t="str">
        <x:v>Hôtellerie</x:v>
      </x:c>
      <x:c r="C26" t="str">
        <x:v>France</x:v>
      </x:c>
      <x:c r="D26" s="6" t="str">
        <x:v>Campagne de notoriété nationale</x:v>
      </x:c>
      <x:c r="E26" t="str">
        <x:v>Prospection B2B</x:v>
      </x:c>
      <x:c r="F26" t="str">
        <x:v>Recherche web</x:v>
      </x:c>
      <x:c r="G26" t="str">
        <x:v>À qualifier</x:v>
      </x:c>
      <x:c r="H26" s="8" t="n">
        <x:v>46312</x:v>
      </x:c>
      <x:c r="I26" s="8"/>
      <x:c r="J26" s="6" t="str">
        <x:v>Vérifier ICP, décideur et éligibilité</x:v>
      </x:c>
    </x:row>
    <x:row r="27">
      <x:c r="A27" t="str">
        <x:v>Les Sources de Caudalie</x:v>
      </x:c>
      <x:c r="B27" t="str">
        <x:v>Hôtellerie</x:v>
      </x:c>
      <x:c r="C27" t="str">
        <x:v>France</x:v>
      </x:c>
      <x:c r="D27" s="6" t="str">
        <x:v>Visibilité lifestyle / tourisme</x:v>
      </x:c>
      <x:c r="E27" t="str">
        <x:v>Prospection B2B</x:v>
      </x:c>
      <x:c r="F27" t="str">
        <x:v>Recherche web</x:v>
      </x:c>
      <x:c r="G27" t="str">
        <x:v>À qualifier</x:v>
      </x:c>
      <x:c r="H27" s="8" t="n">
        <x:v>46312</x:v>
      </x:c>
      <x:c r="I27" s="8"/>
      <x:c r="J27" s="6" t="str">
        <x:v>Vérifier ICP, décideur et éligibilité</x:v>
      </x:c>
    </x:row>
    <x:row r="28">
      <x:c r="A28" t="str">
        <x:v>Hôtel des Grands Boulevards</x:v>
      </x:c>
      <x:c r="B28" t="str">
        <x:v>Hôtellerie</x:v>
      </x:c>
      <x:c r="C28" t="str">
        <x:v>France</x:v>
      </x:c>
      <x:c r="D28" s="6" t="str">
        <x:v>Opportunité presse pour établissement</x:v>
      </x:c>
      <x:c r="E28" t="str">
        <x:v>Prospection B2B</x:v>
      </x:c>
      <x:c r="F28" t="str">
        <x:v>Recherche web</x:v>
      </x:c>
      <x:c r="G28" t="str">
        <x:v>À qualifier</x:v>
      </x:c>
      <x:c r="H28" s="8" t="n">
        <x:v>46312</x:v>
      </x:c>
      <x:c r="I28" s="8"/>
      <x:c r="J28" s="6" t="str">
        <x:v>Vérifier ICP, décideur et éligibilité</x:v>
      </x:c>
    </x:row>
    <x:row r="29">
      <x:c r="A29" t="str">
        <x:v>Mama Shelter</x:v>
      </x:c>
      <x:c r="B29" t="str">
        <x:v>Hôtellerie</x:v>
      </x:c>
      <x:c r="C29" t="str">
        <x:v>France</x:v>
      </x:c>
      <x:c r="D29" s="6" t="str">
        <x:v>Campagne média autour d’une ouverture</x:v>
      </x:c>
      <x:c r="E29" t="str">
        <x:v>Prospection B2B</x:v>
      </x:c>
      <x:c r="F29" t="str">
        <x:v>Recherche web</x:v>
      </x:c>
      <x:c r="G29" t="str">
        <x:v>À qualifier</x:v>
      </x:c>
      <x:c r="H29" s="8" t="n">
        <x:v>46312</x:v>
      </x:c>
      <x:c r="I29" s="8"/>
      <x:c r="J29" s="6" t="str">
        <x:v>Vérifier ICP, décideur et éligibilité</x:v>
      </x:c>
    </x:row>
    <x:row r="30">
      <x:c r="A30" t="str">
        <x:v>Eklo Hotels</x:v>
      </x:c>
      <x:c r="B30" t="str">
        <x:v>Hôtellerie</x:v>
      </x:c>
      <x:c r="C30" t="str">
        <x:v>France</x:v>
      </x:c>
      <x:c r="D30" s="6" t="str">
        <x:v>Couverture média de l’offre et des destinations</x:v>
      </x:c>
      <x:c r="E30" t="str">
        <x:v>Prospection B2B</x:v>
      </x:c>
      <x:c r="F30" t="str">
        <x:v>Recherche web</x:v>
      </x:c>
      <x:c r="G30" t="str">
        <x:v>À qualifier</x:v>
      </x:c>
      <x:c r="H30" s="8" t="n">
        <x:v>46312</x:v>
      </x:c>
      <x:c r="I30" s="8"/>
      <x:c r="J30" s="6" t="str">
        <x:v>Vérifier ICP, décideur et éligibilité</x:v>
      </x:c>
    </x:row>
    <x:row r="31">
      <x:c r="A31" t="str">
        <x:v>OKKO HOTELS</x:v>
      </x:c>
      <x:c r="B31" t="str">
        <x:v>Hôtellerie</x:v>
      </x:c>
      <x:c r="C31" t="str">
        <x:v>France</x:v>
      </x:c>
      <x:c r="D31" s="6" t="str">
        <x:v>Campagne notoriété / ouvertures</x:v>
      </x:c>
      <x:c r="E31" t="str">
        <x:v>Prospection B2B</x:v>
      </x:c>
      <x:c r="F31" t="str">
        <x:v>Recherche web</x:v>
      </x:c>
      <x:c r="G31" t="str">
        <x:v>À qualifier</x:v>
      </x:c>
      <x:c r="H31" s="8" t="n">
        <x:v>46312</x:v>
      </x:c>
      <x:c r="I31" s="8"/>
      <x:c r="J31" s="6" t="str">
        <x:v>Vérifier ICP, décideur et éligibilité</x:v>
      </x:c>
    </x:row>
  </x:sheetData>
  <x:conditionalFormatting sqref="G2:G100">
    <x:cfRule type="expression" dxfId="0" priority="1">
      <x:formula>$G2="Gagné"</x:formula>
    </x:cfRule>
    <x:cfRule type="expression" dxfId="1" priority="2">
      <x:formula>$G2="Perdu"</x:formula>
    </x:cfRule>
    <x:cfRule type="expression" dxfId="2" priority="3">
      <x:formula>$G2="Relance à effectuer"</x:formula>
    </x:cfRule>
  </x:conditionalFormatting>
  <x:dataValidations count="1">
    <x:dataValidation type="list" sqref="G2:G100">
      <x:formula1>"À qualifier,À contacter,Contacté,Relance à effectuer,En discussion,Rendez-vous planifié,Proposition envoyée,Négociation,Gagné,Perdu,Sans réponse"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5" hidden="0" customWidth="1"/>
    <x:col min="3" max="3" width="75" hidden="0" customWidth="1"/>
  </x:cols>
  <x:sheetData>
    <x:row r="1" ht="27" customHeight="1">
      <x:c r="A1" s="3" t="str">
        <x:v>METRIC</x:v>
      </x:c>
      <x:c r="B1" s="3" t="str">
        <x:v>FORMULA / RULE</x:v>
      </x:c>
      <x:c r="C1" s="3" t="str">
        <x:v>DATA QUALITY NOTE</x:v>
      </x:c>
    </x:row>
    <x:row r="2" ht="32" customHeight="1">
      <x:c r="A2" t="str">
        <x:v>Total prospects</x:v>
      </x:c>
      <x:c r="B2" t="str">
        <x:v>COUNTA(Entreprise)</x:v>
      </x:c>
      <x:c r="C2" t="str">
        <x:v>30 candidate companies; not validated sales leads</x:v>
      </x:c>
    </x:row>
    <x:row r="3" ht="32" customHeight="1">
      <x:c r="A3" t="str">
        <x:v>Prospects by sector</x:v>
      </x:c>
      <x:c r="B3" t="str">
        <x:v>COUNTIF(Secteur, sector)</x:v>
      </x:c>
      <x:c r="C3" t="str">
        <x:v>Sector from desk research</x:v>
      </x:c>
    </x:row>
    <x:row r="4" ht="32" customHeight="1">
      <x:c r="A4" t="str">
        <x:v>Qualification rate</x:v>
      </x:c>
      <x:c r="B4" t="str">
        <x:v>(Total - À qualifier)/Total</x:v>
      </x:c>
      <x:c r="C4" t="str">
        <x:v>Not every other status guarantees formal qualification</x:v>
      </x:c>
    </x:row>
    <x:row r="5" ht="32" customHeight="1">
      <x:c r="A5" t="str">
        <x:v>Contact rate</x:v>
      </x:c>
      <x:c r="B5" t="str">
        <x:v>Contacted/advanced statuses divided by total</x:v>
      </x:c>
      <x:c r="C5" t="str">
        <x:v>Status proxy: outreach date not stored</x:v>
      </x:c>
    </x:row>
    <x:row r="6" ht="32" customHeight="1">
      <x:c r="A6" t="str">
        <x:v>Meeting rate</x:v>
      </x:c>
      <x:c r="B6" t="str">
        <x:v>Rendez-vous planifié / total</x:v>
      </x:c>
      <x:c r="C6" t="str">
        <x:v>Scheduled is not completed</x:v>
      </x:c>
    </x:row>
    <x:row r="7" ht="32" customHeight="1">
      <x:c r="A7" t="str">
        <x:v>Win rate</x:v>
      </x:c>
      <x:c r="B7" t="str">
        <x:v>Gagné / (Gagné + Perdu)</x:v>
      </x:c>
      <x:c r="C7" t="str">
        <x:v>Verify actual outcome; small samples misleading</x:v>
      </x:c>
    </x:row>
    <x:row r="8" ht="32" customHeight="1">
      <x:c r="A8" t="str">
        <x:v>Follow-up backlog</x:v>
      </x:c>
      <x:c r="B8" t="str">
        <x:v>Count Relance à effectuer</x:v>
      </x:c>
      <x:c r="C8" t="str">
        <x:v>No dates supplied to classify overdue</x:v>
      </x:c>
    </x:row>
    <x:row r="9" ht="32" customHeight="1">
      <x:c r="A9" t="str">
        <x:v>Lead source</x:v>
      </x:c>
      <x:c r="B9" t="str">
        <x:v>COUNTIF(Source du lead, source)</x:v>
      </x:c>
      <x:c r="C9" t="str">
        <x:v>Existing web research labels normalized</x:v>
      </x:c>
    </x:row>
    <x:row r="10" ht="32" customHeight="1">
      <x:c r="A10" t="str">
        <x:v>Conversion funnel</x:v>
      </x:c>
      <x:c r="B10" t="str">
        <x:v>New -&gt; contacted -&gt; meeting -&gt; proposal -&gt; won</x:v>
      </x:c>
      <x:c r="C10" t="str">
        <x:v>Requires dated event history for accurate stages</x:v>
      </x:c>
    </x:row>
    <x:row r="11" ht="32" customHeight="1">
      <x:c r="A11" t="str">
        <x:v>Reporting cadence</x:v>
      </x:c>
      <x:c r="B11" t="str">
        <x:v>Weekly status updates</x:v>
      </x:c>
      <x:c r="C11" t="str">
        <x:v>Record owner, last-contact date, next-step date</x:v>
      </x:c>
    </x:row>
    <x:row r="12" ht="32" customHeight="1">
      <x:c r="A12" t="str">
        <x:v>PUBLICATION SAFETY</x:v>
      </x:c>
      <x:c r="B12" t="str">
        <x:v>No private contact names, emails, LinkedIn profiles</x:v>
      </x:c>
      <x:c r="C12" t="str">
        <x:v>Do not claim this is an actual Media-Start campaign</x:v>
      </x:c>
    </x:row>
  </x:sheetData>
  <x:pageMargins left="0.7" right="0.7" top="0.75" bottom="0.75" header="0.3" footer="0.3"/>
</x:worksheet>
</file>